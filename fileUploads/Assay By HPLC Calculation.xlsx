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050"/>
  </bookViews>
  <sheets>
    <sheet name="Assay By HPLC" sheetId="1" r:id="rId1"/>
  </sheets>
  <calcPr calcId="162913"/>
</workbook>
</file>

<file path=xl/calcChain.xml><?xml version="1.0" encoding="utf-8"?>
<calcChain xmlns="http://schemas.openxmlformats.org/spreadsheetml/2006/main">
  <c r="C12" i="1" l="1"/>
  <c r="I19" i="1" l="1"/>
  <c r="I18" i="1"/>
  <c r="H9" i="1"/>
  <c r="H10" i="1" s="1"/>
  <c r="F19" i="1" l="1"/>
  <c r="F18" i="1" l="1"/>
  <c r="G18" i="1" s="1"/>
  <c r="D20" i="1" l="1"/>
  <c r="D21" i="1" s="1"/>
  <c r="G19" i="1"/>
  <c r="H11" i="1"/>
</calcChain>
</file>

<file path=xl/sharedStrings.xml><?xml version="1.0" encoding="utf-8"?>
<sst xmlns="http://schemas.openxmlformats.org/spreadsheetml/2006/main" count="39" uniqueCount="35">
  <si>
    <t xml:space="preserve">B.No </t>
  </si>
  <si>
    <t>Preparation</t>
  </si>
  <si>
    <t>Wt taken(mg)</t>
  </si>
  <si>
    <t>Dilution-1(mL)</t>
  </si>
  <si>
    <t>Dilution-2(mL)</t>
  </si>
  <si>
    <t>Mean</t>
  </si>
  <si>
    <t>Potency (on dried basis)</t>
  </si>
  <si>
    <t>SD ±</t>
  </si>
  <si>
    <t xml:space="preserve">LOD </t>
  </si>
  <si>
    <t>RSD %</t>
  </si>
  <si>
    <t>Potency (on as is basis)</t>
  </si>
  <si>
    <t>Sample Preparation</t>
  </si>
  <si>
    <t>LOT NO</t>
  </si>
  <si>
    <t>Area</t>
  </si>
  <si>
    <t>Mean Area</t>
  </si>
  <si>
    <t>LOD (%w/w)</t>
  </si>
  <si>
    <t>Sample</t>
  </si>
  <si>
    <t>Inj 1</t>
  </si>
  <si>
    <t>Inj 2</t>
  </si>
  <si>
    <t>Sample-1</t>
  </si>
  <si>
    <t>Sample-2</t>
  </si>
  <si>
    <t>Mean assay(%w/w on as is basis)</t>
  </si>
  <si>
    <t>Mean assay(%w/w on dried  basis)</t>
  </si>
  <si>
    <t xml:space="preserve">% Assay as is basis </t>
  </si>
  <si>
    <t xml:space="preserve">% Assay on dried basis </t>
  </si>
  <si>
    <t>(Assay on as is basis) x 100</t>
  </si>
  <si>
    <t>(100-LOD)</t>
  </si>
  <si>
    <t xml:space="preserve">               At x Ws x 50 x Potency x 100</t>
  </si>
  <si>
    <t>As x 50 x Wt x 100</t>
  </si>
  <si>
    <t>Assay By HPLC</t>
  </si>
  <si>
    <t>Assay against std  (%w/w on as is basis)</t>
  </si>
  <si>
    <t>Standard Solution</t>
  </si>
  <si>
    <t>____mg</t>
  </si>
  <si>
    <t>Dilution-3(mL)</t>
  </si>
  <si>
    <t xml:space="preserve">Area Counts of std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</si>
</sst>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2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4">
    <xf numFmtId="0" fontId="0" fillId="0" borderId="0" xfId="0"/>
    <xf numFmtId="0" fontId="0" fillId="0" borderId="0" xfId="0" applyFont="1" applyProtection="1"/>
    <xf numFmtId="0" fontId="3" fillId="0" borderId="1" xfId="0" applyFont="1" applyFill="1" applyBorder="1" applyAlignment="1" applyProtection="1">
      <alignment vertical="center"/>
    </xf>
    <xf numFmtId="1" fontId="5" fillId="0" borderId="1" xfId="0" applyNumberFormat="1" applyFont="1" applyBorder="1" applyAlignment="1" applyProtection="1">
      <alignment vertical="center"/>
    </xf>
    <xf numFmtId="0" fontId="4" fillId="0" borderId="1" xfId="0" applyFont="1" applyBorder="1" applyProtection="1"/>
    <xf numFmtId="0" fontId="7" fillId="2" borderId="1" xfId="0" applyFont="1" applyFill="1" applyBorder="1" applyAlignment="1" applyProtection="1">
      <alignment vertical="center"/>
    </xf>
    <xf numFmtId="164" fontId="7" fillId="0" borderId="1" xfId="0" applyNumberFormat="1" applyFont="1" applyBorder="1" applyAlignment="1" applyProtection="1">
      <alignment horizontal="center" vertical="center"/>
    </xf>
    <xf numFmtId="2" fontId="7" fillId="0" borderId="1" xfId="0" applyNumberFormat="1" applyFont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</xf>
    <xf numFmtId="1" fontId="3" fillId="0" borderId="1" xfId="0" applyNumberFormat="1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 wrapText="1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vertical="center"/>
    </xf>
    <xf numFmtId="0" fontId="7" fillId="2" borderId="8" xfId="0" applyFont="1" applyFill="1" applyBorder="1" applyAlignment="1" applyProtection="1">
      <alignment horizontal="center" vertical="center"/>
    </xf>
    <xf numFmtId="2" fontId="3" fillId="3" borderId="9" xfId="0" applyNumberFormat="1" applyFont="1" applyFill="1" applyBorder="1" applyAlignment="1" applyProtection="1">
      <alignment horizontal="center" vertical="center"/>
      <protection locked="0"/>
    </xf>
    <xf numFmtId="0" fontId="4" fillId="0" borderId="8" xfId="0" applyFont="1" applyBorder="1" applyProtection="1"/>
    <xf numFmtId="0" fontId="3" fillId="0" borderId="8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4" xfId="0" applyFont="1" applyFill="1" applyBorder="1" applyAlignment="1" applyProtection="1">
      <alignment horizontal="center" vertical="center"/>
      <protection locked="0"/>
    </xf>
    <xf numFmtId="0" fontId="3" fillId="0" borderId="13" xfId="0" applyFont="1" applyFill="1" applyBorder="1" applyAlignment="1" applyProtection="1">
      <alignment horizontal="center" vertical="center"/>
    </xf>
    <xf numFmtId="0" fontId="3" fillId="0" borderId="14" xfId="0" applyFont="1" applyFill="1" applyBorder="1" applyAlignment="1" applyProtection="1">
      <alignment horizontal="center" vertical="center"/>
    </xf>
    <xf numFmtId="0" fontId="3" fillId="0" borderId="15" xfId="0" applyFont="1" applyFill="1" applyBorder="1" applyAlignment="1" applyProtection="1">
      <alignment horizontal="center" vertical="center"/>
    </xf>
    <xf numFmtId="0" fontId="3" fillId="0" borderId="16" xfId="0" applyFont="1" applyFill="1" applyBorder="1" applyAlignment="1" applyProtection="1">
      <alignment horizontal="center" vertical="center"/>
    </xf>
    <xf numFmtId="0" fontId="3" fillId="0" borderId="17" xfId="0" applyFont="1" applyFill="1" applyBorder="1" applyAlignment="1" applyProtection="1">
      <alignment horizontal="center" vertical="center"/>
    </xf>
    <xf numFmtId="0" fontId="3" fillId="0" borderId="18" xfId="0" applyFont="1" applyFill="1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20" xfId="0" applyFont="1" applyBorder="1" applyAlignment="1" applyProtection="1">
      <alignment horizontal="center" vertical="center"/>
    </xf>
    <xf numFmtId="0" fontId="3" fillId="0" borderId="21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</xf>
    <xf numFmtId="0" fontId="3" fillId="0" borderId="22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/>
    </xf>
    <xf numFmtId="0" fontId="3" fillId="0" borderId="23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1" fontId="3" fillId="0" borderId="1" xfId="0" applyNumberFormat="1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  <protection locked="0"/>
    </xf>
    <xf numFmtId="1" fontId="7" fillId="0" borderId="8" xfId="0" applyNumberFormat="1" applyFont="1" applyBorder="1" applyAlignment="1" applyProtection="1">
      <alignment horizontal="center" vertical="center"/>
    </xf>
    <xf numFmtId="1" fontId="7" fillId="0" borderId="11" xfId="0" applyNumberFormat="1" applyFont="1" applyBorder="1" applyAlignment="1" applyProtection="1">
      <alignment horizontal="center" vertical="center"/>
    </xf>
    <xf numFmtId="1" fontId="3" fillId="0" borderId="12" xfId="0" applyNumberFormat="1" applyFont="1" applyBorder="1" applyAlignment="1" applyProtection="1">
      <alignment horizontal="center" vertical="center"/>
    </xf>
    <xf numFmtId="1" fontId="7" fillId="0" borderId="1" xfId="0" applyNumberFormat="1" applyFont="1" applyBorder="1" applyAlignment="1" applyProtection="1">
      <alignment horizontal="center" vertical="center"/>
    </xf>
    <xf numFmtId="0" fontId="3" fillId="0" borderId="24" xfId="0" applyFont="1" applyBorder="1" applyAlignment="1" applyProtection="1">
      <alignment horizontal="center" vertical="center"/>
    </xf>
    <xf numFmtId="0" fontId="3" fillId="0" borderId="25" xfId="0" applyFont="1" applyBorder="1" applyAlignment="1" applyProtection="1">
      <alignment horizontal="center" vertical="center"/>
    </xf>
    <xf numFmtId="0" fontId="3" fillId="0" borderId="26" xfId="0" applyFont="1" applyBorder="1" applyAlignment="1" applyProtection="1">
      <alignment horizontal="center" vertical="center"/>
    </xf>
    <xf numFmtId="0" fontId="3" fillId="0" borderId="27" xfId="0" applyFont="1" applyBorder="1" applyAlignment="1" applyProtection="1">
      <alignment horizontal="center" vertical="center"/>
    </xf>
    <xf numFmtId="0" fontId="3" fillId="0" borderId="28" xfId="0" applyFont="1" applyBorder="1" applyAlignment="1" applyProtection="1">
      <alignment horizontal="center" vertical="center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2" fontId="3" fillId="0" borderId="1" xfId="0" applyNumberFormat="1" applyFont="1" applyBorder="1" applyAlignment="1" applyProtection="1">
      <alignment horizontal="center" vertical="center"/>
    </xf>
    <xf numFmtId="0" fontId="6" fillId="4" borderId="5" xfId="0" applyFont="1" applyFill="1" applyBorder="1" applyAlignment="1" applyProtection="1">
      <alignment horizontal="center" vertical="center"/>
    </xf>
    <xf numFmtId="0" fontId="6" fillId="4" borderId="6" xfId="0" applyFont="1" applyFill="1" applyBorder="1" applyAlignment="1" applyProtection="1">
      <alignment horizontal="center" vertical="center"/>
    </xf>
    <xf numFmtId="0" fontId="6" fillId="4" borderId="7" xfId="0" applyFont="1" applyFill="1" applyBorder="1" applyAlignment="1" applyProtection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7"/>
  <sheetViews>
    <sheetView tabSelected="1" topLeftCell="B1" zoomScale="70" zoomScaleNormal="70" workbookViewId="0">
      <selection activeCell="E2" sqref="E2:F12"/>
    </sheetView>
  </sheetViews>
  <sheetFormatPr defaultColWidth="9.1796875" defaultRowHeight="14.5" x14ac:dyDescent="0.35"/>
  <cols>
    <col min="1" max="1" width="9.1796875" style="1" hidden="1" customWidth="1"/>
    <col min="2" max="2" width="29" style="1" customWidth="1"/>
    <col min="3" max="3" width="25.54296875" style="1" customWidth="1"/>
    <col min="4" max="4" width="19.81640625" style="1" customWidth="1"/>
    <col min="5" max="5" width="18.81640625" style="1" customWidth="1"/>
    <col min="6" max="6" width="14.81640625" style="1" customWidth="1"/>
    <col min="7" max="7" width="39.453125" style="1" customWidth="1"/>
    <col min="8" max="8" width="33.1796875" style="1" customWidth="1"/>
    <col min="9" max="9" width="11.7265625" style="1" customWidth="1"/>
    <col min="10" max="16384" width="9.1796875" style="1"/>
  </cols>
  <sheetData>
    <row r="1" spans="2:9" ht="20.5" thickTop="1" x14ac:dyDescent="0.35">
      <c r="B1" s="61" t="s">
        <v>29</v>
      </c>
      <c r="C1" s="62"/>
      <c r="D1" s="62"/>
      <c r="E1" s="62"/>
      <c r="F1" s="62"/>
      <c r="G1" s="62"/>
      <c r="H1" s="62"/>
      <c r="I1" s="63"/>
    </row>
    <row r="2" spans="2:9" ht="17.5" x14ac:dyDescent="0.35">
      <c r="B2" s="23"/>
      <c r="C2" s="24"/>
      <c r="D2" s="24"/>
      <c r="E2" s="28"/>
      <c r="F2" s="29"/>
      <c r="G2" s="25" t="s">
        <v>34</v>
      </c>
      <c r="H2" s="25"/>
      <c r="I2" s="34"/>
    </row>
    <row r="3" spans="2:9" ht="17.5" x14ac:dyDescent="0.35">
      <c r="B3" s="15" t="s">
        <v>0</v>
      </c>
      <c r="C3" s="26"/>
      <c r="D3" s="27"/>
      <c r="E3" s="30"/>
      <c r="F3" s="31"/>
      <c r="G3" s="9">
        <v>1</v>
      </c>
      <c r="H3" s="11"/>
      <c r="I3" s="35"/>
    </row>
    <row r="4" spans="2:9" ht="17.5" x14ac:dyDescent="0.35">
      <c r="B4" s="16" t="s">
        <v>1</v>
      </c>
      <c r="C4" s="47" t="s">
        <v>31</v>
      </c>
      <c r="D4" s="47"/>
      <c r="E4" s="30"/>
      <c r="F4" s="31"/>
      <c r="G4" s="9">
        <v>2</v>
      </c>
      <c r="H4" s="11"/>
      <c r="I4" s="35"/>
    </row>
    <row r="5" spans="2:9" ht="15.5" x14ac:dyDescent="0.35">
      <c r="B5" s="16" t="s">
        <v>2</v>
      </c>
      <c r="C5" s="26"/>
      <c r="D5" s="27"/>
      <c r="E5" s="30"/>
      <c r="F5" s="31"/>
      <c r="G5" s="9">
        <v>3</v>
      </c>
      <c r="H5" s="11"/>
      <c r="I5" s="35"/>
    </row>
    <row r="6" spans="2:9" ht="15.5" x14ac:dyDescent="0.35">
      <c r="B6" s="16" t="s">
        <v>3</v>
      </c>
      <c r="C6" s="26"/>
      <c r="D6" s="27"/>
      <c r="E6" s="30"/>
      <c r="F6" s="31"/>
      <c r="G6" s="9">
        <v>4</v>
      </c>
      <c r="H6" s="11"/>
      <c r="I6" s="35"/>
    </row>
    <row r="7" spans="2:9" ht="15.5" x14ac:dyDescent="0.35">
      <c r="B7" s="16" t="s">
        <v>4</v>
      </c>
      <c r="C7" s="26"/>
      <c r="D7" s="27"/>
      <c r="E7" s="30"/>
      <c r="F7" s="31"/>
      <c r="G7" s="9">
        <v>5</v>
      </c>
      <c r="H7" s="11"/>
      <c r="I7" s="35"/>
    </row>
    <row r="8" spans="2:9" ht="15.5" x14ac:dyDescent="0.35">
      <c r="B8" s="16" t="s">
        <v>33</v>
      </c>
      <c r="C8" s="26"/>
      <c r="D8" s="27"/>
      <c r="E8" s="30"/>
      <c r="F8" s="31"/>
      <c r="G8" s="9">
        <v>6</v>
      </c>
      <c r="H8" s="11"/>
      <c r="I8" s="35"/>
    </row>
    <row r="9" spans="2:9" ht="17.5" x14ac:dyDescent="0.35">
      <c r="B9" s="23"/>
      <c r="C9" s="24"/>
      <c r="D9" s="24"/>
      <c r="E9" s="30"/>
      <c r="F9" s="31"/>
      <c r="G9" s="14" t="s">
        <v>5</v>
      </c>
      <c r="H9" s="14" t="e">
        <f>AVERAGE(H3:H8)</f>
        <v>#DIV/0!</v>
      </c>
      <c r="I9" s="35"/>
    </row>
    <row r="10" spans="2:9" ht="17.5" x14ac:dyDescent="0.35">
      <c r="B10" s="17" t="s">
        <v>6</v>
      </c>
      <c r="C10" s="26"/>
      <c r="D10" s="27"/>
      <c r="E10" s="30"/>
      <c r="F10" s="31"/>
      <c r="G10" s="14" t="s">
        <v>7</v>
      </c>
      <c r="H10" s="6" t="e">
        <f>STDEV(H3:H9)</f>
        <v>#DIV/0!</v>
      </c>
      <c r="I10" s="35"/>
    </row>
    <row r="11" spans="2:9" ht="17.5" x14ac:dyDescent="0.35">
      <c r="B11" s="16" t="s">
        <v>8</v>
      </c>
      <c r="C11" s="26"/>
      <c r="D11" s="27"/>
      <c r="E11" s="30"/>
      <c r="F11" s="31"/>
      <c r="G11" s="14" t="s">
        <v>9</v>
      </c>
      <c r="H11" s="7" t="e">
        <f>ROUND(H10/H9*100,2)</f>
        <v>#DIV/0!</v>
      </c>
      <c r="I11" s="35"/>
    </row>
    <row r="12" spans="2:9" ht="15.5" x14ac:dyDescent="0.35">
      <c r="B12" s="16" t="s">
        <v>10</v>
      </c>
      <c r="C12" s="46">
        <f>SUM(C10-C11)</f>
        <v>0</v>
      </c>
      <c r="D12" s="46"/>
      <c r="E12" s="32"/>
      <c r="F12" s="33"/>
      <c r="G12" s="2"/>
      <c r="H12" s="2"/>
      <c r="I12" s="35"/>
    </row>
    <row r="13" spans="2:9" ht="17.5" x14ac:dyDescent="0.35">
      <c r="B13" s="15" t="s">
        <v>11</v>
      </c>
      <c r="C13" s="9" t="s">
        <v>3</v>
      </c>
      <c r="D13" s="24" t="s">
        <v>4</v>
      </c>
      <c r="E13" s="24"/>
      <c r="F13" s="37"/>
      <c r="G13" s="38"/>
      <c r="H13" s="39"/>
      <c r="I13" s="35"/>
    </row>
    <row r="14" spans="2:9" ht="15.5" x14ac:dyDescent="0.35">
      <c r="B14" s="18" t="s">
        <v>32</v>
      </c>
      <c r="C14" s="8"/>
      <c r="D14" s="8"/>
      <c r="E14" s="8"/>
      <c r="F14" s="40"/>
      <c r="G14" s="41"/>
      <c r="H14" s="42"/>
      <c r="I14" s="35"/>
    </row>
    <row r="15" spans="2:9" ht="15.5" x14ac:dyDescent="0.35">
      <c r="B15" s="16" t="s">
        <v>12</v>
      </c>
      <c r="C15" s="26"/>
      <c r="D15" s="48"/>
      <c r="E15" s="27"/>
      <c r="F15" s="43"/>
      <c r="G15" s="44"/>
      <c r="H15" s="45"/>
      <c r="I15" s="36"/>
    </row>
    <row r="16" spans="2:9" ht="15.75" customHeight="1" x14ac:dyDescent="0.35">
      <c r="B16" s="19"/>
      <c r="C16" s="5"/>
      <c r="D16" s="10" t="s">
        <v>13</v>
      </c>
      <c r="E16" s="10" t="s">
        <v>13</v>
      </c>
      <c r="F16" s="12" t="s">
        <v>14</v>
      </c>
      <c r="G16" s="59" t="s">
        <v>30</v>
      </c>
      <c r="H16" s="59"/>
      <c r="I16" s="58" t="s">
        <v>15</v>
      </c>
    </row>
    <row r="17" spans="2:9" ht="17.5" x14ac:dyDescent="0.35">
      <c r="B17" s="20" t="s">
        <v>16</v>
      </c>
      <c r="C17" s="10" t="s">
        <v>2</v>
      </c>
      <c r="D17" s="10" t="s">
        <v>17</v>
      </c>
      <c r="E17" s="10" t="s">
        <v>18</v>
      </c>
      <c r="F17" s="12"/>
      <c r="G17" s="59"/>
      <c r="H17" s="59"/>
      <c r="I17" s="58"/>
    </row>
    <row r="18" spans="2:9" ht="15.5" x14ac:dyDescent="0.35">
      <c r="B18" s="16" t="s">
        <v>19</v>
      </c>
      <c r="C18" s="8"/>
      <c r="D18" s="8"/>
      <c r="E18" s="8"/>
      <c r="F18" s="13" t="e">
        <f>ROUND(AVERAGE(D18:E18),0)</f>
        <v>#DIV/0!</v>
      </c>
      <c r="G18" s="60" t="e">
        <f>F18/$H$9*$C$5/$C$6*$C$7/$C$8*$C$14/C18*$E$14/$D$14*$C$12/100*100</f>
        <v>#DIV/0!</v>
      </c>
      <c r="H18" s="60"/>
      <c r="I18" s="21">
        <f>SUM(C11)</f>
        <v>0</v>
      </c>
    </row>
    <row r="19" spans="2:9" ht="15.5" x14ac:dyDescent="0.35">
      <c r="B19" s="16" t="s">
        <v>20</v>
      </c>
      <c r="C19" s="8"/>
      <c r="D19" s="8"/>
      <c r="E19" s="8"/>
      <c r="F19" s="13" t="e">
        <f>ROUND(AVERAGE(D19:E19),0)</f>
        <v>#DIV/0!</v>
      </c>
      <c r="G19" s="60" t="e">
        <f>F19/$H$9*$C$5/$C$6*$C$7/$C$8*$C$14/C19*$E$14/$D$14*$C$12/100*100</f>
        <v>#DIV/0!</v>
      </c>
      <c r="H19" s="60"/>
      <c r="I19" s="21">
        <f>SUM(C11)</f>
        <v>0</v>
      </c>
    </row>
    <row r="20" spans="2:9" ht="17.5" x14ac:dyDescent="0.35">
      <c r="B20" s="49" t="s">
        <v>21</v>
      </c>
      <c r="C20" s="52"/>
      <c r="D20" s="6" t="e">
        <f>ROUND(AVERAGE(G18,G19),1)</f>
        <v>#DIV/0!</v>
      </c>
      <c r="E20" s="37"/>
      <c r="F20" s="38"/>
      <c r="G20" s="38"/>
      <c r="H20" s="38"/>
      <c r="I20" s="53"/>
    </row>
    <row r="21" spans="2:9" ht="17.5" x14ac:dyDescent="0.35">
      <c r="B21" s="49" t="s">
        <v>22</v>
      </c>
      <c r="C21" s="52"/>
      <c r="D21" s="6" t="e">
        <f>ROUND(D20*(100)/(100-I18),1)</f>
        <v>#DIV/0!</v>
      </c>
      <c r="E21" s="40"/>
      <c r="F21" s="41"/>
      <c r="G21" s="41"/>
      <c r="H21" s="41"/>
      <c r="I21" s="54"/>
    </row>
    <row r="22" spans="2:9" ht="15.5" x14ac:dyDescent="0.35">
      <c r="B22" s="49" t="s">
        <v>23</v>
      </c>
      <c r="C22" s="3" t="s">
        <v>27</v>
      </c>
      <c r="D22" s="3"/>
      <c r="E22" s="40"/>
      <c r="F22" s="41"/>
      <c r="G22" s="41"/>
      <c r="H22" s="41"/>
      <c r="I22" s="54"/>
    </row>
    <row r="23" spans="2:9" ht="15.5" x14ac:dyDescent="0.35">
      <c r="B23" s="49"/>
      <c r="C23" s="46" t="s">
        <v>28</v>
      </c>
      <c r="D23" s="46"/>
      <c r="E23" s="40"/>
      <c r="F23" s="41"/>
      <c r="G23" s="41"/>
      <c r="H23" s="41"/>
      <c r="I23" s="54"/>
    </row>
    <row r="24" spans="2:9" ht="15.5" x14ac:dyDescent="0.35">
      <c r="B24" s="22"/>
      <c r="C24" s="4"/>
      <c r="D24" s="4"/>
      <c r="E24" s="40"/>
      <c r="F24" s="41"/>
      <c r="G24" s="41"/>
      <c r="H24" s="41"/>
      <c r="I24" s="54"/>
    </row>
    <row r="25" spans="2:9" ht="15.5" x14ac:dyDescent="0.35">
      <c r="B25" s="49" t="s">
        <v>24</v>
      </c>
      <c r="C25" s="46" t="s">
        <v>25</v>
      </c>
      <c r="D25" s="46"/>
      <c r="E25" s="40"/>
      <c r="F25" s="41"/>
      <c r="G25" s="41"/>
      <c r="H25" s="41"/>
      <c r="I25" s="54"/>
    </row>
    <row r="26" spans="2:9" ht="16" thickBot="1" x14ac:dyDescent="0.4">
      <c r="B26" s="50"/>
      <c r="C26" s="51" t="s">
        <v>26</v>
      </c>
      <c r="D26" s="51"/>
      <c r="E26" s="55"/>
      <c r="F26" s="56"/>
      <c r="G26" s="56"/>
      <c r="H26" s="56"/>
      <c r="I26" s="57"/>
    </row>
    <row r="27" spans="2:9" ht="15" thickTop="1" x14ac:dyDescent="0.35"/>
  </sheetData>
  <mergeCells count="30">
    <mergeCell ref="D13:E13"/>
    <mergeCell ref="G16:H17"/>
    <mergeCell ref="G18:H18"/>
    <mergeCell ref="G19:H19"/>
    <mergeCell ref="C15:E15"/>
    <mergeCell ref="B25:B26"/>
    <mergeCell ref="C25:D25"/>
    <mergeCell ref="C26:D26"/>
    <mergeCell ref="B20:C20"/>
    <mergeCell ref="B21:C21"/>
    <mergeCell ref="B22:B23"/>
    <mergeCell ref="C23:D23"/>
    <mergeCell ref="E20:I26"/>
    <mergeCell ref="I16:I17"/>
    <mergeCell ref="B1:I1"/>
    <mergeCell ref="B2:D2"/>
    <mergeCell ref="G2:H2"/>
    <mergeCell ref="C3:D3"/>
    <mergeCell ref="C10:D10"/>
    <mergeCell ref="E2:F12"/>
    <mergeCell ref="I2:I15"/>
    <mergeCell ref="F13:H15"/>
    <mergeCell ref="C11:D11"/>
    <mergeCell ref="C12:D12"/>
    <mergeCell ref="C4:D4"/>
    <mergeCell ref="C5:D5"/>
    <mergeCell ref="C6:D6"/>
    <mergeCell ref="C7:D7"/>
    <mergeCell ref="C8:D8"/>
    <mergeCell ref="B9:D9"/>
  </mergeCells>
  <pageMargins left="0.7" right="0.7" top="0.75" bottom="0.75" header="0.3" footer="0.3"/>
  <pageSetup paperSize="9" scale="4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Assay By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2025-07-04T09:44:20Z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5677ce49-0b0f-4df2-8cfa-1c544b309a9a</vt:lpwstr>
  </property>
</Properties>
</file>